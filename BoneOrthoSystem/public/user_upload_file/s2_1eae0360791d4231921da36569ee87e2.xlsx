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68283c369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數值型骨質疏鬆資料" sheetId="1" r:id="R993c79516f174c45"/>
    <x:sheet xmlns:r="http://schemas.openxmlformats.org/officeDocument/2006/relationships" name="摘要與測試問題" sheetId="2" r:id="Ra7bc1a0c9f4641a1"/>
    <x:sheet xmlns:r="http://schemas.openxmlformats.org/officeDocument/2006/relationships" name="欄位與規則" sheetId="3" r:id="Re5a0829f58a8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5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2563EB"/>
      </x:patternFill>
    </x:fill>
    <x:fill>
      <x:patternFill patternType="solid">
        <x:fgColor rgb="0F766E"/>
      </x:patternFill>
    </x:fill>
    <x:fill>
      <x:patternFill patternType="solid">
        <x:fgColor rgb="DBEAFE"/>
      </x:patternFill>
    </x:fill>
    <x:fill>
      <x:patternFill patternType="solid">
        <x:fgColor rgb="EFF6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991B1B"/>
      </x:font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48b96af824336" /><Relationship Type="http://schemas.openxmlformats.org/officeDocument/2006/relationships/theme" Target="/xl/theme/theme1.xml" Id="R5669ad3d39a74d5d" /><Relationship Type="http://schemas.openxmlformats.org/officeDocument/2006/relationships/sharedStrings" Target="/xl/sharedStrings.xml" Id="Rd5aae1d3d1e144a1" /><Relationship Type="http://schemas.openxmlformats.org/officeDocument/2006/relationships/worksheet" Target="/xl/worksheets/sheet1.xml" Id="R993c79516f174c45" /><Relationship Type="http://schemas.openxmlformats.org/officeDocument/2006/relationships/worksheet" Target="/xl/worksheets/sheet2.xml" Id="Ra7bc1a0c9f4641a1" /><Relationship Type="http://schemas.openxmlformats.org/officeDocument/2006/relationships/worksheet" Target="/xl/worksheets/sheet3.xml" Id="Re5a0829f58a84d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ab157012ef47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骨折風險分級人數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人數</c:v>
          </c:tx>
          <c:cat>
            <c:strRef>
              <c:f>'摘要與測試問題'!$G$4:$G$6</c:f>
              <c:strCache>
                <c:ptCount val="0"/>
              </c:strCache>
            </c:strRef>
          </c:cat>
          <c:val>
            <c:numRef>
              <c:f>'摘要與測試問題'!$H$4:$H$6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ab157012ef47e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steoporosisNumericTable" displayName="OsteoporosisNumericTable" ref="A1:U11" headerRowCount="1">
  <x:tableColumns count="21">
    <x:tableColumn id="1" name="受試者ID"/>
    <x:tableColumn id="2" name="年齡"/>
    <x:tableColumn id="3" name="性別"/>
    <x:tableColumn id="4" name="停經狀態"/>
    <x:tableColumn id="5" name="停經年數"/>
    <x:tableColumn id="6" name="BMI"/>
    <x:tableColumn id="7" name="腰椎T-score"/>
    <x:tableColumn id="8" name="髖部T-score"/>
    <x:tableColumn id="9" name="股骨頸T-score"/>
    <x:tableColumn id="10" name="每日鈣攝取mg"/>
    <x:tableColumn id="11" name="維生素D ng/mL"/>
    <x:tableColumn id="12" name="每週運動分鐘"/>
    <x:tableColumn id="13" name="過去一年跌倒次數"/>
    <x:tableColumn id="14" name="是否使用類固醇"/>
    <x:tableColumn id="15" name="骨折風險分級"/>
    <x:tableColumn id="16" name="重點說明"/>
    <x:tableColumn id="17" name="最低T-score"/>
    <x:tableColumn id="18" name="是否骨質疏鬆"/>
    <x:tableColumn id="19" name="是否骨量不足"/>
    <x:tableColumn id="20" name="鈣攝取是否不足"/>
    <x:tableColumn id="21" name="維生素D狀態"/>
  </x:tableColumns>
  <x:tableStyleInfo name="TableStyleMedium2" showRowStripes="1"/>
</x:table>
</file>

<file path=xl/tables/table2.xml><?xml version="1.0" encoding="utf-8"?>
<x:table xmlns:x="http://schemas.openxmlformats.org/spreadsheetml/2006/main" id="2" name="RulesTable" displayName="RulesTable" ref="A1:C9" headerRowCount="1">
  <x:tableColumns count="3">
    <x:tableColumn id="1" name="欄位"/>
    <x:tableColumn id="2" name="資料型態"/>
    <x:tableColumn id="3" name="用途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cffe69ae8f47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582c643dc254e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4d860a3ee6421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3.9000000953674316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8" hidden="0" customWidth="1"/>
    <x:col min="15" max="15" width="18" hidden="0" customWidth="1"/>
    <x:col min="16" max="16" width="38" hidden="0" customWidth="1"/>
    <x:col min="17" max="17" width="13" hidden="0" customWidth="1"/>
    <x:col min="18" max="18" width="11.710000038146973" hidden="0" customWidth="1"/>
    <x:col min="19" max="19" width="11.710000038146973" hidden="0" customWidth="1"/>
    <x:col min="20" max="20" width="13.729999542236328" hidden="0" customWidth="1"/>
    <x:col min="21" max="21" width="18" hidden="0" customWidth="1"/>
  </x:cols>
  <x:sheetData>
    <x:row r="1">
      <x:c r="A1" s="14" t="str">
        <x:v>受試者ID</x:v>
      </x:c>
      <x:c r="B1" s="14" t="str">
        <x:v>年齡</x:v>
      </x:c>
      <x:c r="C1" s="14" t="str">
        <x:v>性別</x:v>
      </x:c>
      <x:c r="D1" s="14" t="str">
        <x:v>停經狀態</x:v>
      </x:c>
      <x:c r="E1" s="14" t="str">
        <x:v>停經年數</x:v>
      </x:c>
      <x:c r="F1" s="14" t="str">
        <x:v>BMI</x:v>
      </x:c>
      <x:c r="G1" s="14" t="str">
        <x:v>腰椎T-score</x:v>
      </x:c>
      <x:c r="H1" s="14" t="str">
        <x:v>髖部T-score</x:v>
      </x:c>
      <x:c r="I1" s="14" t="str">
        <x:v>股骨頸T-score</x:v>
      </x:c>
      <x:c r="J1" s="14" t="str">
        <x:v>每日鈣攝取mg</x:v>
      </x:c>
      <x:c r="K1" s="14" t="str">
        <x:v>維生素D ng/mL</x:v>
      </x:c>
      <x:c r="L1" s="14" t="str">
        <x:v>每週運動分鐘</x:v>
      </x:c>
      <x:c r="M1" s="14" t="str">
        <x:v>過去一年跌倒次數</x:v>
      </x:c>
      <x:c r="N1" s="14" t="str">
        <x:v>是否使用類固醇</x:v>
      </x:c>
      <x:c r="O1" s="14" t="str">
        <x:v>骨折風險分級</x:v>
      </x:c>
      <x:c r="P1" s="14" t="str">
        <x:v>重點說明</x:v>
      </x:c>
      <x:c r="Q1" s="14" t="str">
        <x:v>最低T-score</x:v>
      </x:c>
      <x:c r="R1" s="14" t="str">
        <x:v>是否骨質疏鬆</x:v>
      </x:c>
      <x:c r="S1" s="14" t="str">
        <x:v>是否骨量不足</x:v>
      </x:c>
      <x:c r="T1" s="14" t="str">
        <x:v>鈣攝取是否不足</x:v>
      </x:c>
      <x:c r="U1" s="14" t="str">
        <x:v>維生素D狀態</x:v>
      </x:c>
    </x:row>
    <x:row r="2">
      <x:c r="A2" s="15" t="str">
        <x:v>P001</x:v>
      </x:c>
      <x:c r="B2" s="18" t="n">
        <x:v>52</x:v>
      </x:c>
      <x:c r="C2" s="15" t="str">
        <x:v>女</x:v>
      </x:c>
      <x:c r="D2" s="15" t="str">
        <x:v>未停經</x:v>
      </x:c>
      <x:c r="E2" s="18" t="n">
        <x:v>0</x:v>
      </x:c>
      <x:c r="F2" s="20" t="n">
        <x:v>22.5</x:v>
      </x:c>
      <x:c r="G2" s="20" t="n">
        <x:v>-0.8</x:v>
      </x:c>
      <x:c r="H2" s="20" t="n">
        <x:v>-0.6</x:v>
      </x:c>
      <x:c r="I2" s="20" t="n">
        <x:v>-0.7</x:v>
      </x:c>
      <x:c r="J2" s="18" t="n">
        <x:v>850</x:v>
      </x:c>
      <x:c r="K2" s="18" t="n">
        <x:v>31</x:v>
      </x:c>
      <x:c r="L2" s="18" t="n">
        <x:v>180</x:v>
      </x:c>
      <x:c r="M2" s="18" t="n">
        <x:v>0</x:v>
      </x:c>
      <x:c r="N2" s="15" t="str">
        <x:v>否</x:v>
      </x:c>
      <x:c r="O2" s="15" t="str">
        <x:v>低</x:v>
      </x:c>
      <x:c r="P2" s="15" t="str">
        <x:v>骨密度接近正常，維持鈣與維生素D攝取。</x:v>
      </x:c>
      <x:c r="Q2" s="20" t="n">
        <x:f>MIN(G2:I2)</x:f>
        <x:v>-0.8</x:v>
      </x:c>
      <x:c r="R2" s="15" t="str">
        <x:f>IF(Q2&lt;=-2.5,"是","否")</x:f>
        <x:v>否</x:v>
      </x:c>
      <x:c r="S2" s="15" t="str">
        <x:f>IF(AND(Q2&lt;-1,Q2&gt;-2.5),"是","否")</x:f>
        <x:v>否</x:v>
      </x:c>
      <x:c r="T2" s="15" t="str">
        <x:f>IF(J2&lt;800,"不足","足夠")</x:f>
        <x:v>足夠</x:v>
      </x:c>
      <x:c r="U2" s="15" t="str">
        <x:f>IF(K2&lt;20,"缺乏",IF(K2&lt;30,"不足","足夠"))</x:f>
        <x:v>足夠</x:v>
      </x:c>
    </x:row>
    <x:row r="3">
      <x:c r="A3" s="15" t="str">
        <x:v>P002</x:v>
      </x:c>
      <x:c r="B3" s="18" t="n">
        <x:v>57</x:v>
      </x:c>
      <x:c r="C3" s="15" t="str">
        <x:v>女</x:v>
      </x:c>
      <x:c r="D3" s="15" t="str">
        <x:v>停經</x:v>
      </x:c>
      <x:c r="E3" s="18" t="n">
        <x:v>5</x:v>
      </x:c>
      <x:c r="F3" s="20" t="n">
        <x:v>21.2</x:v>
      </x:c>
      <x:c r="G3" s="20" t="n">
        <x:v>-1.7</x:v>
      </x:c>
      <x:c r="H3" s="20" t="n">
        <x:v>-1.4</x:v>
      </x:c>
      <x:c r="I3" s="20" t="n">
        <x:v>-1.6</x:v>
      </x:c>
      <x:c r="J3" s="18" t="n">
        <x:v>620</x:v>
      </x:c>
      <x:c r="K3" s="18" t="n">
        <x:v>24</x:v>
      </x:c>
      <x:c r="L3" s="18" t="n">
        <x:v>90</x:v>
      </x:c>
      <x:c r="M3" s="18" t="n">
        <x:v>1</x:v>
      </x:c>
      <x:c r="N3" s="15" t="str">
        <x:v>否</x:v>
      </x:c>
      <x:c r="O3" s="15" t="str">
        <x:v>中</x:v>
      </x:c>
      <x:c r="P3" s="15" t="str">
        <x:v>停經後骨質流失增加，腰椎已有骨量不足。</x:v>
      </x:c>
      <x:c r="Q3" s="20" t="n">
        <x:f>MIN(G3:I3)</x:f>
        <x:v>-1.7</x:v>
      </x:c>
      <x:c r="R3" s="15" t="str">
        <x:f>IF(Q3&lt;=-2.5,"是","否")</x:f>
        <x:v>否</x:v>
      </x:c>
      <x:c r="S3" s="15" t="str">
        <x:f>IF(AND(Q3&lt;-1,Q3&gt;-2.5),"是","否")</x:f>
        <x:v>是</x:v>
      </x:c>
      <x:c r="T3" s="15" t="str">
        <x:f>IF(J3&lt;800,"不足","足夠")</x:f>
        <x:v>不足</x:v>
      </x:c>
      <x:c r="U3" s="15" t="str">
        <x:f>IF(K3&lt;20,"缺乏",IF(K3&lt;30,"不足","足夠"))</x:f>
        <x:v>不足</x:v>
      </x:c>
    </x:row>
    <x:row r="4">
      <x:c r="A4" s="15" t="str">
        <x:v>P003</x:v>
      </x:c>
      <x:c r="B4" s="18" t="n">
        <x:v>63</x:v>
      </x:c>
      <x:c r="C4" s="15" t="str">
        <x:v>女</x:v>
      </x:c>
      <x:c r="D4" s="15" t="str">
        <x:v>停經</x:v>
      </x:c>
      <x:c r="E4" s="18" t="n">
        <x:v>12</x:v>
      </x:c>
      <x:c r="F4" s="20" t="n">
        <x:v>19.8</x:v>
      </x:c>
      <x:c r="G4" s="20" t="n">
        <x:v>-2.6</x:v>
      </x:c>
      <x:c r="H4" s="20" t="n">
        <x:v>-2.2</x:v>
      </x:c>
      <x:c r="I4" s="20" t="n">
        <x:v>-2.4</x:v>
      </x:c>
      <x:c r="J4" s="18" t="n">
        <x:v>480</x:v>
      </x:c>
      <x:c r="K4" s="18" t="n">
        <x:v>18</x:v>
      </x:c>
      <x:c r="L4" s="18" t="n">
        <x:v>40</x:v>
      </x:c>
      <x:c r="M4" s="18" t="n">
        <x:v>2</x:v>
      </x:c>
      <x:c r="N4" s="15" t="str">
        <x:v>否</x:v>
      </x:c>
      <x:c r="O4" s="15" t="str">
        <x:v>高</x:v>
      </x:c>
      <x:c r="P4" s="15" t="str">
        <x:v>腰椎達骨質疏鬆範圍，跌倒與壓迫性骨折風險提高。</x:v>
      </x:c>
      <x:c r="Q4" s="20" t="n">
        <x:f>MIN(G4:I4)</x:f>
        <x:v>-2.6</x:v>
      </x:c>
      <x:c r="R4" s="15" t="str">
        <x:f>IF(Q4&lt;=-2.5,"是","否")</x:f>
        <x:v>是</x:v>
      </x:c>
      <x:c r="S4" s="15" t="str">
        <x:f>IF(AND(Q4&lt;-1,Q4&gt;-2.5),"是","否")</x:f>
        <x:v>否</x:v>
      </x:c>
      <x:c r="T4" s="15" t="str">
        <x:f>IF(J4&lt;800,"不足","足夠")</x:f>
        <x:v>不足</x:v>
      </x:c>
      <x:c r="U4" s="15" t="str">
        <x:f>IF(K4&lt;20,"缺乏",IF(K4&lt;30,"不足","足夠"))</x:f>
        <x:v>缺乏</x:v>
      </x:c>
    </x:row>
    <x:row r="5">
      <x:c r="A5" s="15" t="str">
        <x:v>P004</x:v>
      </x:c>
      <x:c r="B5" s="18" t="n">
        <x:v>68</x:v>
      </x:c>
      <x:c r="C5" s="15" t="str">
        <x:v>女</x:v>
      </x:c>
      <x:c r="D5" s="15" t="str">
        <x:v>停經</x:v>
      </x:c>
      <x:c r="E5" s="18" t="n">
        <x:v>18</x:v>
      </x:c>
      <x:c r="F5" s="20" t="n">
        <x:v>20.6</x:v>
      </x:c>
      <x:c r="G5" s="20" t="n">
        <x:v>-3.1</x:v>
      </x:c>
      <x:c r="H5" s="20" t="n">
        <x:v>-2.8</x:v>
      </x:c>
      <x:c r="I5" s="20" t="n">
        <x:v>-2.9</x:v>
      </x:c>
      <x:c r="J5" s="18" t="n">
        <x:v>520</x:v>
      </x:c>
      <x:c r="K5" s="18" t="n">
        <x:v>16</x:v>
      </x:c>
      <x:c r="L5" s="18" t="n">
        <x:v>20</x:v>
      </x:c>
      <x:c r="M5" s="18" t="n">
        <x:v>3</x:v>
      </x:c>
      <x:c r="N5" s="15" t="str">
        <x:v>是</x:v>
      </x:c>
      <x:c r="O5" s="15" t="str">
        <x:v>高</x:v>
      </x:c>
      <x:c r="P5" s="15" t="str">
        <x:v>T-score明顯偏低且有類固醇使用，屬高風險族群。</x:v>
      </x:c>
      <x:c r="Q5" s="20" t="n">
        <x:f>MIN(G5:I5)</x:f>
        <x:v>-3.1</x:v>
      </x:c>
      <x:c r="R5" s="15" t="str">
        <x:f>IF(Q5&lt;=-2.5,"是","否")</x:f>
        <x:v>是</x:v>
      </x:c>
      <x:c r="S5" s="15" t="str">
        <x:f>IF(AND(Q5&lt;-1,Q5&gt;-2.5),"是","否")</x:f>
        <x:v>否</x:v>
      </x:c>
      <x:c r="T5" s="15" t="str">
        <x:f>IF(J5&lt;800,"不足","足夠")</x:f>
        <x:v>不足</x:v>
      </x:c>
      <x:c r="U5" s="15" t="str">
        <x:f>IF(K5&lt;20,"缺乏",IF(K5&lt;30,"不足","足夠"))</x:f>
        <x:v>缺乏</x:v>
      </x:c>
    </x:row>
    <x:row r="6">
      <x:c r="A6" s="15" t="str">
        <x:v>P005</x:v>
      </x:c>
      <x:c r="B6" s="18" t="n">
        <x:v>61</x:v>
      </x:c>
      <x:c r="C6" s="15" t="str">
        <x:v>女</x:v>
      </x:c>
      <x:c r="D6" s="15" t="str">
        <x:v>停經</x:v>
      </x:c>
      <x:c r="E6" s="18" t="n">
        <x:v>9</x:v>
      </x:c>
      <x:c r="F6" s="20" t="n">
        <x:v>25.1</x:v>
      </x:c>
      <x:c r="G6" s="20" t="n">
        <x:v>-1.9</x:v>
      </x:c>
      <x:c r="H6" s="20" t="n">
        <x:v>-1.8</x:v>
      </x:c>
      <x:c r="I6" s="20" t="n">
        <x:v>-1.7</x:v>
      </x:c>
      <x:c r="J6" s="18" t="n">
        <x:v>760</x:v>
      </x:c>
      <x:c r="K6" s="18" t="n">
        <x:v>27</x:v>
      </x:c>
      <x:c r="L6" s="18" t="n">
        <x:v>120</x:v>
      </x:c>
      <x:c r="M6" s="18" t="n">
        <x:v>0</x:v>
      </x:c>
      <x:c r="N6" s="15" t="str">
        <x:v>否</x:v>
      </x:c>
      <x:c r="O6" s="15" t="str">
        <x:v>中</x:v>
      </x:c>
      <x:c r="P6" s="15" t="str">
        <x:v>骨量不足，應持續追蹤骨密度並增加阻力運動。</x:v>
      </x:c>
      <x:c r="Q6" s="20" t="n">
        <x:f>MIN(G6:I6)</x:f>
        <x:v>-1.9</x:v>
      </x:c>
      <x:c r="R6" s="15" t="str">
        <x:f>IF(Q6&lt;=-2.5,"是","否")</x:f>
        <x:v>否</x:v>
      </x:c>
      <x:c r="S6" s="15" t="str">
        <x:f>IF(AND(Q6&lt;-1,Q6&gt;-2.5),"是","否")</x:f>
        <x:v>是</x:v>
      </x:c>
      <x:c r="T6" s="15" t="str">
        <x:f>IF(J6&lt;800,"不足","足夠")</x:f>
        <x:v>不足</x:v>
      </x:c>
      <x:c r="U6" s="15" t="str">
        <x:f>IF(K6&lt;20,"缺乏",IF(K6&lt;30,"不足","足夠"))</x:f>
        <x:v>不足</x:v>
      </x:c>
    </x:row>
    <x:row r="7">
      <x:c r="A7" s="15" t="str">
        <x:v>P006</x:v>
      </x:c>
      <x:c r="B7" s="18" t="n">
        <x:v>74</x:v>
      </x:c>
      <x:c r="C7" s="15" t="str">
        <x:v>女</x:v>
      </x:c>
      <x:c r="D7" s="15" t="str">
        <x:v>停經</x:v>
      </x:c>
      <x:c r="E7" s="18" t="n">
        <x:v>24</x:v>
      </x:c>
      <x:c r="F7" s="20" t="n">
        <x:v>18.9</x:v>
      </x:c>
      <x:c r="G7" s="20" t="n">
        <x:v>-3.4</x:v>
      </x:c>
      <x:c r="H7" s="20" t="n">
        <x:v>-3</x:v>
      </x:c>
      <x:c r="I7" s="20" t="n">
        <x:v>-3.2</x:v>
      </x:c>
      <x:c r="J7" s="18" t="n">
        <x:v>430</x:v>
      </x:c>
      <x:c r="K7" s="18" t="n">
        <x:v>14</x:v>
      </x:c>
      <x:c r="L7" s="18" t="n">
        <x:v>10</x:v>
      </x:c>
      <x:c r="M7" s="18" t="n">
        <x:v>4</x:v>
      </x:c>
      <x:c r="N7" s="15" t="str">
        <x:v>是</x:v>
      </x:c>
      <x:c r="O7" s="15" t="str">
        <x:v>高</x:v>
      </x:c>
      <x:c r="P7" s="15" t="str">
        <x:v>高齡、低BMI、低維生素D與跌倒次數多，髖部骨折風險高。</x:v>
      </x:c>
      <x:c r="Q7" s="20" t="n">
        <x:f>MIN(G7:I7)</x:f>
        <x:v>-3.4</x:v>
      </x:c>
      <x:c r="R7" s="15" t="str">
        <x:f>IF(Q7&lt;=-2.5,"是","否")</x:f>
        <x:v>是</x:v>
      </x:c>
      <x:c r="S7" s="15" t="str">
        <x:f>IF(AND(Q7&lt;-1,Q7&gt;-2.5),"是","否")</x:f>
        <x:v>否</x:v>
      </x:c>
      <x:c r="T7" s="15" t="str">
        <x:f>IF(J7&lt;800,"不足","足夠")</x:f>
        <x:v>不足</x:v>
      </x:c>
      <x:c r="U7" s="15" t="str">
        <x:f>IF(K7&lt;20,"缺乏",IF(K7&lt;30,"不足","足夠"))</x:f>
        <x:v>缺乏</x:v>
      </x:c>
    </x:row>
    <x:row r="8">
      <x:c r="A8" s="15" t="str">
        <x:v>P007</x:v>
      </x:c>
      <x:c r="B8" s="18" t="n">
        <x:v>55</x:v>
      </x:c>
      <x:c r="C8" s="15" t="str">
        <x:v>女</x:v>
      </x:c>
      <x:c r="D8" s="15" t="str">
        <x:v>停經</x:v>
      </x:c>
      <x:c r="E8" s="18" t="n">
        <x:v>3</x:v>
      </x:c>
      <x:c r="F8" s="20" t="n">
        <x:v>23.3</x:v>
      </x:c>
      <x:c r="G8" s="20" t="n">
        <x:v>-1.2</x:v>
      </x:c>
      <x:c r="H8" s="20" t="n">
        <x:v>-1</x:v>
      </x:c>
      <x:c r="I8" s="20" t="n">
        <x:v>-1.1</x:v>
      </x:c>
      <x:c r="J8" s="18" t="n">
        <x:v>900</x:v>
      </x:c>
      <x:c r="K8" s="18" t="n">
        <x:v>30</x:v>
      </x:c>
      <x:c r="L8" s="18" t="n">
        <x:v>160</x:v>
      </x:c>
      <x:c r="M8" s="18" t="n">
        <x:v>0</x:v>
      </x:c>
      <x:c r="N8" s="15" t="str">
        <x:v>否</x:v>
      </x:c>
      <x:c r="O8" s="15" t="str">
        <x:v>低</x:v>
      </x:c>
      <x:c r="P8" s="15" t="str">
        <x:v>早期停經後變化，建議規律追蹤。</x:v>
      </x:c>
      <x:c r="Q8" s="20" t="n">
        <x:f>MIN(G8:I8)</x:f>
        <x:v>-1.2</x:v>
      </x:c>
      <x:c r="R8" s="15" t="str">
        <x:f>IF(Q8&lt;=-2.5,"是","否")</x:f>
        <x:v>否</x:v>
      </x:c>
      <x:c r="S8" s="15" t="str">
        <x:f>IF(AND(Q8&lt;-1,Q8&gt;-2.5),"是","否")</x:f>
        <x:v>是</x:v>
      </x:c>
      <x:c r="T8" s="15" t="str">
        <x:f>IF(J8&lt;800,"不足","足夠")</x:f>
        <x:v>足夠</x:v>
      </x:c>
      <x:c r="U8" s="15" t="str">
        <x:f>IF(K8&lt;20,"缺乏",IF(K8&lt;30,"不足","足夠"))</x:f>
        <x:v>足夠</x:v>
      </x:c>
    </x:row>
    <x:row r="9">
      <x:c r="A9" s="15" t="str">
        <x:v>P008</x:v>
      </x:c>
      <x:c r="B9" s="18" t="n">
        <x:v>66</x:v>
      </x:c>
      <x:c r="C9" s="15" t="str">
        <x:v>女</x:v>
      </x:c>
      <x:c r="D9" s="15" t="str">
        <x:v>停經</x:v>
      </x:c>
      <x:c r="E9" s="18" t="n">
        <x:v>15</x:v>
      </x:c>
      <x:c r="F9" s="20" t="n">
        <x:v>22</x:v>
      </x:c>
      <x:c r="G9" s="20" t="n">
        <x:v>-2.5</x:v>
      </x:c>
      <x:c r="H9" s="20" t="n">
        <x:v>-2.6</x:v>
      </x:c>
      <x:c r="I9" s="20" t="n">
        <x:v>-2.7</x:v>
      </x:c>
      <x:c r="J9" s="18" t="n">
        <x:v>580</x:v>
      </x:c>
      <x:c r="K9" s="18" t="n">
        <x:v>19</x:v>
      </x:c>
      <x:c r="L9" s="18" t="n">
        <x:v>60</x:v>
      </x:c>
      <x:c r="M9" s="18" t="n">
        <x:v>1</x:v>
      </x:c>
      <x:c r="N9" s="15" t="str">
        <x:v>否</x:v>
      </x:c>
      <x:c r="O9" s="15" t="str">
        <x:v>高</x:v>
      </x:c>
      <x:c r="P9" s="15" t="str">
        <x:v>腰椎與髖部T-score達骨質疏鬆，需評估治療與防跌。</x:v>
      </x:c>
      <x:c r="Q9" s="20" t="n">
        <x:f>MIN(G9:I9)</x:f>
        <x:v>-2.7</x:v>
      </x:c>
      <x:c r="R9" s="15" t="str">
        <x:f>IF(Q9&lt;=-2.5,"是","否")</x:f>
        <x:v>是</x:v>
      </x:c>
      <x:c r="S9" s="15" t="str">
        <x:f>IF(AND(Q9&lt;-1,Q9&gt;-2.5),"是","否")</x:f>
        <x:v>否</x:v>
      </x:c>
      <x:c r="T9" s="15" t="str">
        <x:f>IF(J9&lt;800,"不足","足夠")</x:f>
        <x:v>不足</x:v>
      </x:c>
      <x:c r="U9" s="15" t="str">
        <x:f>IF(K9&lt;20,"缺乏",IF(K9&lt;30,"不足","足夠"))</x:f>
        <x:v>缺乏</x:v>
      </x:c>
    </x:row>
    <x:row r="10">
      <x:c r="A10" s="15" t="str">
        <x:v>P009</x:v>
      </x:c>
      <x:c r="B10" s="18" t="n">
        <x:v>70</x:v>
      </x:c>
      <x:c r="C10" s="15" t="str">
        <x:v>女</x:v>
      </x:c>
      <x:c r="D10" s="15" t="str">
        <x:v>停經</x:v>
      </x:c>
      <x:c r="E10" s="18" t="n">
        <x:v>20</x:v>
      </x:c>
      <x:c r="F10" s="20" t="n">
        <x:v>24</x:v>
      </x:c>
      <x:c r="G10" s="20" t="n">
        <x:v>-2.1</x:v>
      </x:c>
      <x:c r="H10" s="20" t="n">
        <x:v>-2.4</x:v>
      </x:c>
      <x:c r="I10" s="20" t="n">
        <x:v>-2.3</x:v>
      </x:c>
      <x:c r="J10" s="18" t="n">
        <x:v>650</x:v>
      </x:c>
      <x:c r="K10" s="18" t="n">
        <x:v>21</x:v>
      </x:c>
      <x:c r="L10" s="18" t="n">
        <x:v>80</x:v>
      </x:c>
      <x:c r="M10" s="18" t="n">
        <x:v>2</x:v>
      </x:c>
      <x:c r="N10" s="15" t="str">
        <x:v>否</x:v>
      </x:c>
      <x:c r="O10" s="15" t="str">
        <x:v>中</x:v>
      </x:c>
      <x:c r="P10" s="15" t="str">
        <x:v>接近骨質疏鬆範圍，髖部與股骨頸需注意。</x:v>
      </x:c>
      <x:c r="Q10" s="20" t="n">
        <x:f>MIN(G10:I10)</x:f>
        <x:v>-2.4</x:v>
      </x:c>
      <x:c r="R10" s="15" t="str">
        <x:f>IF(Q10&lt;=-2.5,"是","否")</x:f>
        <x:v>否</x:v>
      </x:c>
      <x:c r="S10" s="15" t="str">
        <x:f>IF(AND(Q10&lt;-1,Q10&gt;-2.5),"是","否")</x:f>
        <x:v>是</x:v>
      </x:c>
      <x:c r="T10" s="15" t="str">
        <x:f>IF(J10&lt;800,"不足","足夠")</x:f>
        <x:v>不足</x:v>
      </x:c>
      <x:c r="U10" s="15" t="str">
        <x:f>IF(K10&lt;20,"缺乏",IF(K10&lt;30,"不足","足夠"))</x:f>
        <x:v>不足</x:v>
      </x:c>
    </x:row>
    <x:row r="11">
      <x:c r="A11" s="15" t="str">
        <x:v>P010</x:v>
      </x:c>
      <x:c r="B11" s="18" t="n">
        <x:v>59</x:v>
      </x:c>
      <x:c r="C11" s="15" t="str">
        <x:v>女</x:v>
      </x:c>
      <x:c r="D11" s="15" t="str">
        <x:v>停經</x:v>
      </x:c>
      <x:c r="E11" s="18" t="n">
        <x:v>7</x:v>
      </x:c>
      <x:c r="F11" s="20" t="n">
        <x:v>26.4</x:v>
      </x:c>
      <x:c r="G11" s="20" t="n">
        <x:v>-1.5</x:v>
      </x:c>
      <x:c r="H11" s="20" t="n">
        <x:v>-1.3</x:v>
      </x:c>
      <x:c r="I11" s="20" t="n">
        <x:v>-1.2</x:v>
      </x:c>
      <x:c r="J11" s="18" t="n">
        <x:v>820</x:v>
      </x:c>
      <x:c r="K11" s="18" t="n">
        <x:v>29</x:v>
      </x:c>
      <x:c r="L11" s="18" t="n">
        <x:v>140</x:v>
      </x:c>
      <x:c r="M11" s="18" t="n">
        <x:v>0</x:v>
      </x:c>
      <x:c r="N11" s="15" t="str">
        <x:v>否</x:v>
      </x:c>
      <x:c r="O11" s="15" t="str">
        <x:v>中</x:v>
      </x:c>
      <x:c r="P11" s="15" t="str">
        <x:v>骨量不足但生活型態較佳，可強化肌力與平衡訓練。</x:v>
      </x:c>
      <x:c r="Q11" s="20" t="n">
        <x:f>MIN(G11:I11)</x:f>
        <x:v>-1.5</x:v>
      </x:c>
      <x:c r="R11" s="15" t="str">
        <x:f>IF(Q11&lt;=-2.5,"是","否")</x:f>
        <x:v>否</x:v>
      </x:c>
      <x:c r="S11" s="15" t="str">
        <x:f>IF(AND(Q11&lt;-1,Q11&gt;-2.5),"是","否")</x:f>
        <x:v>是</x:v>
      </x:c>
      <x:c r="T11" s="15" t="str">
        <x:f>IF(J11&lt;800,"不足","足夠")</x:f>
        <x:v>足夠</x:v>
      </x:c>
      <x:c r="U11" s="15" t="str">
        <x:f>IF(K11&lt;20,"缺乏",IF(K11&lt;30,"不足","足夠"))</x:f>
        <x:v>不足</x:v>
      </x:c>
    </x:row>
  </x:sheetData>
  <x:conditionalFormatting sqref="G2:I11">
    <x:cfRule type="cellIs" dxfId="0" priority="1" operator="lessThanOrEqual">
      <x:formula>-2.5</x:formula>
    </x:cfRule>
  </x:conditionalFormatting>
  <x:conditionalFormatting sqref="Q2:Q11">
    <x:cfRule type="colorScale" priority="2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J2:J11">
    <x:cfRule type="cellIs" dxfId="1" priority="3" operator="lessThan">
      <x:formula>800</x:formula>
    </x:cfRule>
  </x:conditionalFormatting>
  <x:conditionalFormatting sqref="K2:K11">
    <x:cfRule type="cellIs" dxfId="2" priority="4" operator="lessThan">
      <x:formula>20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cffe69ae8f47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  <x:col min="4" max="4" width="22" hidden="0" customWidth="1"/>
    <x:col min="5" max="5" width="16" hidden="0" customWidth="1"/>
  </x:cols>
  <x:sheetData>
    <x:row r="1">
      <x:c r="A1" s="26" t="str">
        <x:v>中文數值型 XLSX 測試檔：骨質疏鬆風險摘要</x:v>
      </x:c>
    </x:row>
    <x:row r="3">
      <x:c r="A3" s="32" t="str">
        <x:v>測試目的</x:v>
      </x:c>
      <x:c r="B3" s="11" t="str">
        <x:v>檢查系統能否從 XLSX 數值欄位中整理重點，而不是只輸出 Sheet 名稱。</x:v>
      </x:c>
      <x:c r="D3" s="36" t="str">
        <x:v>指標</x:v>
      </x:c>
      <x:c r="E3" s="36" t="str">
        <x:v>公式結果</x:v>
      </x:c>
      <x:c r="G3" s="4" t="str">
        <x:v>風險分級</x:v>
      </x:c>
      <x:c r="H3" s="4" t="str">
        <x:v>人數</x:v>
      </x:c>
    </x:row>
    <x:row r="4">
      <x:c r="A4" s="32" t="str">
        <x:v>資料重點</x:v>
      </x:c>
      <x:c r="B4" s="11" t="str">
        <x:v>資料包含年齡、停經年數、BMI、腰椎/髖部/股骨頸 T-score、鈣攝取、維生素D、運動分鐘、跌倒次數與類固醇使用。</x:v>
      </x:c>
      <x:c r="D4" s="37" t="str">
        <x:v>總筆數</x:v>
      </x:c>
      <x:c r="E4" s="11" t="n">
        <x:f>COUNTA('數值型骨質疏鬆資料'!A2:A11)</x:f>
        <x:v>10</x:v>
      </x:c>
      <x:c r="G4" t="str">
        <x:v>低</x:v>
      </x:c>
      <x:c r="H4" t="n">
        <x:f>COUNTIF('數值型骨質疏鬆資料'!O2:O11,"低")</x:f>
        <x:v>2</x:v>
      </x:c>
    </x:row>
    <x:row r="5">
      <x:c r="A5" s="32" t="str">
        <x:v>判斷規則</x:v>
      </x:c>
      <x:c r="B5" s="11" t="str">
        <x:v>最低 T-score &lt;= -2.5 可視為骨質疏鬆；-2.5 到 -1 之間為骨量不足；鈣攝取 &lt; 800 mg 為不足；維生素D &lt; 20 ng/mL 為缺乏。</x:v>
      </x:c>
      <x:c r="D5" s="37" t="str">
        <x:v>骨質疏鬆人數</x:v>
      </x:c>
      <x:c r="E5" s="11" t="n">
        <x:f>COUNTIF('數值型骨質疏鬆資料'!R2:R11,"是")</x:f>
        <x:v>4</x:v>
      </x:c>
      <x:c r="G5" t="str">
        <x:v>中</x:v>
      </x:c>
      <x:c r="H5" t="n">
        <x:f>COUNTIF('數值型骨質疏鬆資料'!O2:O11,"中")</x:f>
        <x:v>4</x:v>
      </x:c>
    </x:row>
    <x:row r="6">
      <x:c r="A6" s="32" t="str">
        <x:v>預期摘要</x:v>
      </x:c>
      <x:c r="B6" s="11" t="str">
        <x:v>摘要應提到高風險個案多集中在停經年數較長、T-score較低、維生素D不足、運動量少、跌倒次數較多或使用類固醇者。</x:v>
      </x:c>
      <x:c r="D6" s="37" t="str">
        <x:v>骨量不足人數</x:v>
      </x:c>
      <x:c r="E6" s="11" t="n">
        <x:f>COUNTIF('數值型骨質疏鬆資料'!S2:S11,"是")</x:f>
        <x:v>5</x:v>
      </x:c>
      <x:c r="G6" t="str">
        <x:v>高</x:v>
      </x:c>
      <x:c r="H6" t="n">
        <x:f>COUNTIF('數值型骨質疏鬆資料'!O2:O11,"高")</x:f>
        <x:v>4</x:v>
      </x:c>
    </x:row>
    <x:row r="7">
      <x:c r="D7" s="37" t="str">
        <x:v>平均最低T-score</x:v>
      </x:c>
      <x:c r="E7" s="40" t="n">
        <x:f>AVERAGE('數值型骨質疏鬆資料'!Q2:Q11)</x:f>
        <x:v>-2.13</x:v>
      </x:c>
    </x:row>
    <x:row r="8">
      <x:c r="D8" s="37" t="str">
        <x:v>鈣攝取不足人數</x:v>
      </x:c>
      <x:c r="E8" s="11" t="n">
        <x:f>COUNTIF('數值型骨質疏鬆資料'!T2:T11,"不足")</x:f>
        <x:v>7</x:v>
      </x:c>
    </x:row>
    <x:row r="9">
      <x:c r="D9" s="37" t="str">
        <x:v>維生素D缺乏人數</x:v>
      </x:c>
      <x:c r="E9" s="11" t="n">
        <x:f>COUNTIF('數值型骨質疏鬆資料'!U2:U11,"缺乏")</x:f>
        <x:v>4</x:v>
      </x:c>
    </x:row>
    <x:row r="10">
      <x:c r="D10" s="37" t="str">
        <x:v>平均每週運動分鐘</x:v>
      </x:c>
      <x:c r="E10" s="42" t="n">
        <x:f>AVERAGE('數值型骨質疏鬆資料'!L2:L11)</x:f>
        <x:v>90</x:v>
      </x:c>
    </x:row>
    <x:row r="13">
      <x:c r="A13" s="4" t="str">
        <x:v>可測試提問</x:v>
      </x:c>
      <x:c r="B13" s="4" t="str">
        <x:v>預期回答方向</x:v>
      </x:c>
    </x:row>
    <x:row r="14">
      <x:c r="A14" s="11" t="str">
        <x:v>這份表格中骨質疏鬆高風險族群有什麼共同特徵？</x:v>
      </x:c>
      <x:c r="B14" s="11" t="str">
        <x:v>應回答：停經年數較長、最低T-score偏低、維生素D缺乏、運動量少、跌倒次數多、部分有類固醇使用。</x:v>
      </x:c>
    </x:row>
    <x:row r="15">
      <x:c r="A15" s="11" t="str">
        <x:v>哪些數值可以判斷骨質疏鬆風險？</x:v>
      </x:c>
      <x:c r="B15" s="11" t="str">
        <x:v>應回答：腰椎/髖部/股骨頸T-score、最低T-score、鈣攝取、維生素D、跌倒次數、運動量、BMI、停經年數。</x:v>
      </x:c>
    </x:row>
    <x:row r="16">
      <x:c r="A16" s="11" t="str">
        <x:v>表格中T-score小於等於-2.5代表什麼？</x:v>
      </x:c>
      <x:c r="B16" s="11" t="str">
        <x:v>應回答：可視為骨質疏鬆範圍，需注意骨折風險並建議專業評估。</x:v>
      </x:c>
    </x:row>
    <x:row r="17">
      <x:c r="A17" s="11" t="str">
        <x:v>維生素D不足和骨質疏鬆有什麼關係？</x:v>
      </x:c>
      <x:c r="B17" s="11" t="str">
        <x:v>應回答：維生素D不足會影響鈣吸收，可能增加骨質流失與骨折風險。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582c643dc254ebd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66" hidden="0" customWidth="1"/>
  </x:cols>
  <x:sheetData>
    <x:row r="1">
      <x:c r="A1" s="36" t="str">
        <x:v>欄位</x:v>
      </x:c>
      <x:c r="B1" s="36" t="str">
        <x:v>資料型態</x:v>
      </x:c>
      <x:c r="C1" s="36" t="str">
        <x:v>用途</x:v>
      </x:c>
    </x:row>
    <x:row r="2">
      <x:c r="A2" s="11" t="str">
        <x:v>年齡</x:v>
      </x:c>
      <x:c r="B2" s="11" t="str">
        <x:v>數值</x:v>
      </x:c>
      <x:c r="C2" s="11" t="str">
        <x:v>高齡會增加骨折與跌倒風險。</x:v>
      </x:c>
    </x:row>
    <x:row r="3">
      <x:c r="A3" s="11" t="str">
        <x:v>停經年數</x:v>
      </x:c>
      <x:c r="B3" s="11" t="str">
        <x:v>數值</x:v>
      </x:c>
      <x:c r="C3" s="11" t="str">
        <x:v>停經後雌激素下降，骨質流失可能加速。</x:v>
      </x:c>
    </x:row>
    <x:row r="4">
      <x:c r="A4" s="11" t="str">
        <x:v>腰椎T-score/髖部T-score/股骨頸T-score</x:v>
      </x:c>
      <x:c r="B4" s="11" t="str">
        <x:v>數值</x:v>
      </x:c>
      <x:c r="C4" s="11" t="str">
        <x:v>骨密度判讀核心指標；小於等於 -2.5 為骨質疏鬆範圍。</x:v>
      </x:c>
    </x:row>
    <x:row r="5">
      <x:c r="A5" s="11" t="str">
        <x:v>每日鈣攝取mg</x:v>
      </x:c>
      <x:c r="B5" s="11" t="str">
        <x:v>數值</x:v>
      </x:c>
      <x:c r="C5" s="11" t="str">
        <x:v>低於 800 mg 代表攝取不足，需注意飲食或補充。</x:v>
      </x:c>
    </x:row>
    <x:row r="6">
      <x:c r="A6" s="11" t="str">
        <x:v>維生素D ng/mL</x:v>
      </x:c>
      <x:c r="B6" s="11" t="str">
        <x:v>數值</x:v>
      </x:c>
      <x:c r="C6" s="11" t="str">
        <x:v>低於 20 ng/mL 為缺乏，20–29 為不足，30以上較足夠。</x:v>
      </x:c>
    </x:row>
    <x:row r="7">
      <x:c r="A7" s="11" t="str">
        <x:v>每週運動分鐘</x:v>
      </x:c>
      <x:c r="B7" s="11" t="str">
        <x:v>數值</x:v>
      </x:c>
      <x:c r="C7" s="11" t="str">
        <x:v>運動不足會影響肌力、平衡與骨骼刺激。</x:v>
      </x:c>
    </x:row>
    <x:row r="8">
      <x:c r="A8" s="11" t="str">
        <x:v>跌倒次數</x:v>
      </x:c>
      <x:c r="B8" s="11" t="str">
        <x:v>數值</x:v>
      </x:c>
      <x:c r="C8" s="11" t="str">
        <x:v>跌倒越多，骨折風險越高。</x:v>
      </x:c>
    </x:row>
    <x:row r="9">
      <x:c r="A9" s="11" t="str">
        <x:v>是否使用類固醇</x:v>
      </x:c>
      <x:c r="B9" s="11" t="str">
        <x:v>類別</x:v>
      </x:c>
      <x:c r="C9" s="11" t="str">
        <x:v>長期類固醇可能增加骨質流失風險。</x:v>
      </x:c>
    </x:row>
  </x:sheetData>
  <x:pageMargins left="0.7" right="0.7" top="0.75" bottom="0.75" header="0.3" footer="0.3"/>
  <x:tableParts count="1">
    <x:tablePart xmlns:r="http://schemas.openxmlformats.org/officeDocument/2006/relationships" r:id="R5d4d860a3ee64212"/>
  </x:tableParts>
</x:worksheet>
</file>